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Grille actifs" sheetId="2" state="visible" r:id="rId2"/>
    <sheet xmlns:r="http://schemas.openxmlformats.org/officeDocument/2006/relationships" name="Dette &amp; couverture" sheetId="3" state="visible" r:id="rId3"/>
    <sheet xmlns:r="http://schemas.openxmlformats.org/officeDocument/2006/relationships" name="Agrégats &amp; covenants" sheetId="4" state="visible" r:id="rId4"/>
    <sheet xmlns:r="http://schemas.openxmlformats.org/officeDocument/2006/relationships" name="Scénario Bear" sheetId="5" state="visible" r:id="rId5"/>
    <sheet xmlns:r="http://schemas.openxmlformats.org/officeDocument/2006/relationships" name="Contrô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#,##0.00;(#,##0.00)"/>
    <numFmt numFmtId="166" formatCode="0.0%"/>
    <numFmt numFmtId="167" formatCode="€#,##0.00"/>
    <numFmt numFmtId="168" formatCode="0.00&quot;x&quot;"/>
    <numFmt numFmtId="169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4213D"/>
      <sz val="14"/>
    </font>
    <font>
      <name val="Arial"/>
      <i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9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0" fontId="5" fillId="0" borderId="1" pivotButton="0" quotePrefix="0" xfId="0"/>
    <xf numFmtId="166" fontId="3" fillId="0" borderId="1" pivotButton="0" quotePrefix="0" xfId="0"/>
    <xf numFmtId="165" fontId="3" fillId="0" borderId="1" pivotButton="0" quotePrefix="0" xfId="0"/>
    <xf numFmtId="0" fontId="6" fillId="0" borderId="1" pivotButton="0" quotePrefix="0" xfId="0"/>
    <xf numFmtId="165" fontId="6" fillId="0" borderId="1" pivotButton="0" quotePrefix="0" xfId="0"/>
    <xf numFmtId="10" fontId="6" fillId="0" borderId="1" pivotButton="0" quotePrefix="0" xfId="0"/>
    <xf numFmtId="166" fontId="6" fillId="0" borderId="1" pivotButton="0" quotePrefix="0" xfId="0"/>
    <xf numFmtId="0" fontId="2" fillId="0" borderId="0" pivotButton="0" quotePrefix="0" xfId="0"/>
    <xf numFmtId="165" fontId="7" fillId="0" borderId="1" pivotButton="0" quotePrefix="0" xfId="0"/>
    <xf numFmtId="166" fontId="7" fillId="0" borderId="1" pivotButton="0" quotePrefix="0" xfId="0"/>
    <xf numFmtId="166" fontId="8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10" fontId="3" fillId="0" borderId="1" pivotButton="0" quotePrefix="0" xfId="0"/>
    <xf numFmtId="3" fontId="5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168" fontId="3" fillId="0" borderId="1" pivotButton="0" quotePrefix="0" xfId="0"/>
    <xf numFmtId="168" fontId="5" fillId="0" borderId="1" pivotButton="0" quotePrefix="0" xfId="0"/>
    <xf numFmtId="10" fontId="7" fillId="0" borderId="1" pivotButton="0" quotePrefix="0" xfId="0"/>
    <xf numFmtId="167" fontId="3" fillId="0" borderId="1" pivotButton="0" quotePrefix="0" xfId="0"/>
    <xf numFmtId="169" fontId="5" fillId="0" borderId="1" pivotButton="0" quotePrefix="0" xfId="0"/>
    <xf numFmtId="167" fontId="7" fillId="0" borderId="1" pivotButton="0" quotePrefix="0" xfId="0"/>
    <xf numFmtId="167" fontId="5" fillId="0" borderId="1" pivotButton="0" quotePrefix="0" xfId="0"/>
    <xf numFmtId="168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213D"/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PACK COMITÉ — FONDS CORE+ FRANCE (FICTIF)</t>
        </is>
      </c>
    </row>
    <row r="2">
      <c r="A2" s="2" t="inlineStr">
        <is>
          <t>Situation au 31/03/2026 · généré automatiquement depuis le data model du cockpit (data.js)</t>
        </is>
      </c>
    </row>
    <row r="3">
      <c r="A3" s="3" t="inlineStr"/>
    </row>
    <row r="4">
      <c r="A4" s="3" t="inlineStr">
        <is>
          <t>Ce classeur reproduit, en formules Excel auditables, le moteur de calcul du cockpit web :</t>
        </is>
      </c>
    </row>
    <row r="5">
      <c r="A5" s="3" t="inlineStr">
        <is>
          <t xml:space="preserve">  · Grille actifs — inputs par actif ; LTV et contrôle NOI ÷ cap en formules</t>
        </is>
      </c>
    </row>
    <row r="6">
      <c r="A6" s="3" t="inlineStr">
        <is>
          <t xml:space="preserve">  · Dette &amp; couverture — exposition nette, service, écarts vs BP en formules</t>
        </is>
      </c>
    </row>
    <row r="7">
      <c r="A7" s="3" t="inlineStr">
        <is>
          <t xml:space="preserve">  · Agrégats &amp; covenants — GAV, NAV, VL, DSCR, ratios : aucune valeur saisie, tout est dérivé</t>
        </is>
      </c>
    </row>
    <row r="8">
      <c r="A8" s="3" t="inlineStr">
        <is>
          <t xml:space="preserve">  · Scénario Bear — hypothèses paramétrables (loyers −10 %, vacance +400 bps, caps +125 bps, taux +150 bps)</t>
        </is>
      </c>
    </row>
    <row r="9">
      <c r="A9" s="3" t="inlineStr">
        <is>
          <t xml:space="preserve">  · Contrôles — recette PASS / FAIL comparant le classeur aux valeurs de référence du cockpit</t>
        </is>
      </c>
    </row>
    <row r="10">
      <c r="A10" s="3" t="inlineStr"/>
    </row>
    <row r="11">
      <c r="A11" s="3" t="inlineStr">
        <is>
          <t>Code couleur : BLEU = input modifiable · NOIR = formule · VERT = lien inter-onglets</t>
        </is>
      </c>
    </row>
    <row r="12">
      <c r="A12" s="3" t="inlineStr"/>
    </row>
    <row r="13">
      <c r="A13" s="3" t="inlineStr">
        <is>
          <t>Sources de marché : JLL Research, Investment I&amp;L France Q1 2026 ; JLL Research, Investment Greater Paris Region Q1 2026.</t>
        </is>
      </c>
    </row>
    <row r="14">
      <c r="A14" s="2" t="inlineStr">
        <is>
          <t>Fonds fictif à but de démonstration. Cap rates ancrés sur les notes JLL France Q1 2026 (I&amp;L et Greater Paris Region) ; les niveaux par actif sont des hypothèses calibrées, non une base de marché propriétaire.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4B"/>
    <outlinePr summaryBelow="1" summaryRight="1"/>
    <pageSetUpPr/>
  </sheetPr>
  <dimension ref="A1:O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1" customWidth="1" min="3" max="3"/>
    <col width="15" customWidth="1" min="4" max="4"/>
    <col width="22" customWidth="1" min="5" max="5"/>
    <col width="11" customWidth="1" min="6" max="6"/>
    <col width="11" customWidth="1" min="7" max="7"/>
    <col width="7" customWidth="1" min="8" max="8"/>
    <col width="11" customWidth="1" min="9" max="9"/>
    <col width="9" customWidth="1" min="10" max="10"/>
    <col width="10" customWidth="1" min="11" max="11"/>
    <col width="10" customWidth="1" min="12" max="12"/>
    <col width="9" customWidth="1" min="13" max="13"/>
    <col width="13" customWidth="1" min="14" max="14"/>
    <col width="13" customWidth="1" min="15" max="15"/>
  </cols>
  <sheetData>
    <row r="1">
      <c r="A1" s="4" t="inlineStr">
        <is>
          <t>ID</t>
        </is>
      </c>
      <c r="B1" s="4" t="inlineStr">
        <is>
          <t>Actif</t>
        </is>
      </c>
      <c r="C1" s="4" t="inlineStr">
        <is>
          <t>Type</t>
        </is>
      </c>
      <c r="D1" s="4" t="inlineStr">
        <is>
          <t>Profil</t>
        </is>
      </c>
      <c r="E1" s="4" t="inlineStr">
        <is>
          <t>Localisation</t>
        </is>
      </c>
      <c r="F1" s="4" t="inlineStr">
        <is>
          <t>Occupation</t>
        </is>
      </c>
      <c r="G1" s="4" t="inlineStr">
        <is>
          <t>WAULT (ans)</t>
        </is>
      </c>
      <c r="H1" s="4" t="inlineStr">
        <is>
          <t>Index</t>
        </is>
      </c>
      <c r="I1" s="4" t="inlineStr">
        <is>
          <t>Valeur (€m)</t>
        </is>
      </c>
      <c r="J1" s="4" t="inlineStr">
        <is>
          <t>Cap rate</t>
        </is>
      </c>
      <c r="K1" s="4" t="inlineStr">
        <is>
          <t>NOI (€m)</t>
        </is>
      </c>
      <c r="L1" s="4" t="inlineStr">
        <is>
          <t>Dette (€m)</t>
        </is>
      </c>
      <c r="M1" s="4" t="inlineStr">
        <is>
          <t>LTV actif</t>
        </is>
      </c>
      <c r="N1" s="4" t="inlineStr">
        <is>
          <t>NOI ÷ cap (€m)</t>
        </is>
      </c>
      <c r="O1" s="4" t="inlineStr">
        <is>
          <t>Écart check (€m)</t>
        </is>
      </c>
    </row>
    <row r="2">
      <c r="A2" s="5" t="inlineStr">
        <is>
          <t>A1</t>
        </is>
      </c>
      <c r="B2" s="5" t="inlineStr">
        <is>
          <t>Bureau Paris QCA</t>
        </is>
      </c>
      <c r="C2" s="5" t="inlineStr">
        <is>
          <t>Bureau</t>
        </is>
      </c>
      <c r="D2" s="5" t="inlineStr">
        <is>
          <t>Core+</t>
        </is>
      </c>
      <c r="E2" s="5" t="inlineStr">
        <is>
          <t>Paris 8e</t>
        </is>
      </c>
      <c r="F2" s="6" t="n">
        <v>0.97</v>
      </c>
      <c r="G2" s="7" t="n">
        <v>5.2</v>
      </c>
      <c r="H2" s="5" t="inlineStr">
        <is>
          <t>ILAT</t>
        </is>
      </c>
      <c r="I2" s="8" t="n">
        <v>94</v>
      </c>
      <c r="J2" s="9" t="n">
        <v>0.0425</v>
      </c>
      <c r="K2" s="8" t="n">
        <v>4</v>
      </c>
      <c r="L2" s="8" t="n">
        <v>42</v>
      </c>
      <c r="M2" s="10">
        <f>L2/I2</f>
        <v/>
      </c>
      <c r="N2" s="11">
        <f>K2/J2</f>
        <v/>
      </c>
      <c r="O2" s="11">
        <f>I2-N2</f>
        <v/>
      </c>
    </row>
    <row r="3">
      <c r="A3" s="5" t="inlineStr">
        <is>
          <t>A2</t>
        </is>
      </c>
      <c r="B3" s="5" t="inlineStr">
        <is>
          <t>Tour La Défense</t>
        </is>
      </c>
      <c r="C3" s="5" t="inlineStr">
        <is>
          <t>Bureau</t>
        </is>
      </c>
      <c r="D3" s="5" t="inlineStr">
        <is>
          <t>Value-add</t>
        </is>
      </c>
      <c r="E3" s="5" t="inlineStr">
        <is>
          <t>Courbevoie</t>
        </is>
      </c>
      <c r="F3" s="6" t="n">
        <v>0.83</v>
      </c>
      <c r="G3" s="7" t="n">
        <v>3.1</v>
      </c>
      <c r="H3" s="5" t="inlineStr">
        <is>
          <t>ILAT</t>
        </is>
      </c>
      <c r="I3" s="8" t="n">
        <v>50.4</v>
      </c>
      <c r="J3" s="9" t="n">
        <v>0.075</v>
      </c>
      <c r="K3" s="8" t="n">
        <v>3.78</v>
      </c>
      <c r="L3" s="8" t="n">
        <v>31</v>
      </c>
      <c r="M3" s="10">
        <f>L3/I3</f>
        <v/>
      </c>
      <c r="N3" s="11">
        <f>K3/J3</f>
        <v/>
      </c>
      <c r="O3" s="11">
        <f>I3-N3</f>
        <v/>
      </c>
    </row>
    <row r="4">
      <c r="A4" s="5" t="inlineStr">
        <is>
          <t>A3</t>
        </is>
      </c>
      <c r="B4" s="5" t="inlineStr">
        <is>
          <t>Plateforme logistique</t>
        </is>
      </c>
      <c r="C4" s="5" t="inlineStr">
        <is>
          <t>Logistique</t>
        </is>
      </c>
      <c r="D4" s="5" t="inlineStr">
        <is>
          <t>Core+</t>
        </is>
      </c>
      <c r="E4" s="5" t="inlineStr">
        <is>
          <t>Corridor Lyon–Marseille</t>
        </is>
      </c>
      <c r="F4" s="6" t="n">
        <v>0.98</v>
      </c>
      <c r="G4" s="7" t="n">
        <v>6.8</v>
      </c>
      <c r="H4" s="5" t="inlineStr">
        <is>
          <t>ILAT</t>
        </is>
      </c>
      <c r="I4" s="8" t="n">
        <v>70</v>
      </c>
      <c r="J4" s="9" t="n">
        <v>0.051</v>
      </c>
      <c r="K4" s="8" t="n">
        <v>3.57</v>
      </c>
      <c r="L4" s="8" t="n">
        <v>32</v>
      </c>
      <c r="M4" s="10">
        <f>L4/I4</f>
        <v/>
      </c>
      <c r="N4" s="11">
        <f>K4/J4</f>
        <v/>
      </c>
      <c r="O4" s="11">
        <f>I4-N4</f>
        <v/>
      </c>
    </row>
    <row r="5">
      <c r="A5" s="5" t="inlineStr">
        <is>
          <t>A4</t>
        </is>
      </c>
      <c r="B5" s="5" t="inlineStr">
        <is>
          <t>Retail park</t>
        </is>
      </c>
      <c r="C5" s="5" t="inlineStr">
        <is>
          <t>Commerce</t>
        </is>
      </c>
      <c r="D5" s="5" t="inlineStr">
        <is>
          <t>Income / secondaire</t>
        </is>
      </c>
      <c r="E5" s="5" t="inlineStr">
        <is>
          <t>Périphérie Lille</t>
        </is>
      </c>
      <c r="F5" s="6" t="n">
        <v>0.92</v>
      </c>
      <c r="G5" s="7" t="n">
        <v>4</v>
      </c>
      <c r="H5" s="5" t="inlineStr">
        <is>
          <t>ILC</t>
        </is>
      </c>
      <c r="I5" s="8" t="n">
        <v>39</v>
      </c>
      <c r="J5" s="9" t="n">
        <v>0.06900000000000001</v>
      </c>
      <c r="K5" s="8" t="n">
        <v>2.69</v>
      </c>
      <c r="L5" s="8" t="n">
        <v>18</v>
      </c>
      <c r="M5" s="10">
        <f>L5/I5</f>
        <v/>
      </c>
      <c r="N5" s="11">
        <f>K5/J5</f>
        <v/>
      </c>
      <c r="O5" s="11">
        <f>I5-N5</f>
        <v/>
      </c>
    </row>
    <row r="6">
      <c r="A6" s="5" t="inlineStr">
        <is>
          <t>A5</t>
        </is>
      </c>
      <c r="B6" s="5" t="inlineStr">
        <is>
          <t>Résidentiel géré</t>
        </is>
      </c>
      <c r="C6" s="5" t="inlineStr">
        <is>
          <t>Résidentiel</t>
        </is>
      </c>
      <c r="D6" s="5" t="inlineStr">
        <is>
          <t>Défensif</t>
        </is>
      </c>
      <c r="E6" s="5" t="inlineStr">
        <is>
          <t>Île-de-France</t>
        </is>
      </c>
      <c r="F6" s="6" t="n">
        <v>0.95</v>
      </c>
      <c r="G6" s="7" t="inlineStr">
        <is>
          <t>n.a.</t>
        </is>
      </c>
      <c r="H6" s="5" t="inlineStr">
        <is>
          <t>IRL</t>
        </is>
      </c>
      <c r="I6" s="8" t="n">
        <v>35</v>
      </c>
      <c r="J6" s="9" t="n">
        <v>0.044</v>
      </c>
      <c r="K6" s="8" t="n">
        <v>1.54</v>
      </c>
      <c r="L6" s="8" t="n">
        <v>14</v>
      </c>
      <c r="M6" s="10">
        <f>L6/I6</f>
        <v/>
      </c>
      <c r="N6" s="11">
        <f>K6/J6</f>
        <v/>
      </c>
      <c r="O6" s="11">
        <f>I6-N6</f>
        <v/>
      </c>
    </row>
    <row r="7">
      <c r="A7" s="5" t="inlineStr">
        <is>
          <t>A6</t>
        </is>
      </c>
      <c r="B7" s="5" t="inlineStr">
        <is>
          <t>Bureau Part-Dieu</t>
        </is>
      </c>
      <c r="C7" s="5" t="inlineStr">
        <is>
          <t>Bureau</t>
        </is>
      </c>
      <c r="D7" s="5" t="inlineStr">
        <is>
          <t>Core+ régional</t>
        </is>
      </c>
      <c r="E7" s="5" t="inlineStr">
        <is>
          <t>Lyon 3e</t>
        </is>
      </c>
      <c r="F7" s="6" t="n">
        <v>0.9399999999999999</v>
      </c>
      <c r="G7" s="7" t="n">
        <v>4.6</v>
      </c>
      <c r="H7" s="5" t="inlineStr">
        <is>
          <t>ILAT</t>
        </is>
      </c>
      <c r="I7" s="8" t="n">
        <v>29</v>
      </c>
      <c r="J7" s="9" t="n">
        <v>0.055</v>
      </c>
      <c r="K7" s="8" t="n">
        <v>1.6</v>
      </c>
      <c r="L7" s="8" t="n">
        <v>12</v>
      </c>
      <c r="M7" s="10">
        <f>L7/I7</f>
        <v/>
      </c>
      <c r="N7" s="11">
        <f>K7/J7</f>
        <v/>
      </c>
      <c r="O7" s="11">
        <f>I7-N7</f>
        <v/>
      </c>
    </row>
    <row r="8">
      <c r="B8" s="12" t="inlineStr">
        <is>
          <t>Portefeuille (6 actifs)</t>
        </is>
      </c>
      <c r="I8" s="13">
        <f>SUM(I2:I7)</f>
        <v/>
      </c>
      <c r="J8" s="14">
        <f>K8/I8</f>
        <v/>
      </c>
      <c r="K8" s="13">
        <f>SUM(K2:K7)</f>
        <v/>
      </c>
      <c r="L8" s="13">
        <f>SUM(L2:L7)</f>
        <v/>
      </c>
      <c r="M8" s="15">
        <f>L8/I8</f>
        <v/>
      </c>
    </row>
    <row r="10">
      <c r="A10" s="16" t="inlineStr">
        <is>
          <t>Convention : la Valeur est la donnée d'expertise (suivi en appui du valorisateur indépendant) ; NOI ÷ cap est le contrôle de cohérence (tolérance €0,2m, cf. onglet Contrôles).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</cols>
  <sheetData>
    <row r="1">
      <c r="A1" s="4" t="inlineStr">
        <is>
          <t>ID</t>
        </is>
      </c>
      <c r="B1" s="4" t="inlineStr">
        <is>
          <t>Taux all-in</t>
        </is>
      </c>
      <c r="C1" s="4" t="inlineStr">
        <is>
          <t>Part variable</t>
        </is>
      </c>
      <c r="D1" s="4" t="inlineStr">
        <is>
          <t>Couverture</t>
        </is>
      </c>
      <c r="E1" s="4" t="inlineStr">
        <is>
          <t>Expo nette (€m)</t>
        </is>
      </c>
      <c r="F1" s="4" t="inlineStr">
        <is>
          <t>Service (€m)</t>
        </is>
      </c>
      <c r="G1" s="4" t="inlineStr">
        <is>
          <t>Capex / TI (€m)</t>
        </is>
      </c>
      <c r="H1" s="4" t="inlineStr">
        <is>
          <t>BP NOI (€m)</t>
        </is>
      </c>
      <c r="I1" s="4" t="inlineStr">
        <is>
          <t>Écart NOI vs BP</t>
        </is>
      </c>
    </row>
    <row r="2">
      <c r="A2" s="5" t="inlineStr">
        <is>
          <t>A1</t>
        </is>
      </c>
      <c r="B2" s="9" t="n">
        <v>0.042</v>
      </c>
      <c r="C2" s="6" t="n">
        <v>0.35</v>
      </c>
      <c r="D2" s="6" t="n">
        <v>0.5</v>
      </c>
      <c r="E2" s="17">
        <f>'Grille actifs'!L2*C2*(1-D2)</f>
        <v/>
      </c>
      <c r="F2" s="17">
        <f>'Grille actifs'!L2*B2</f>
        <v/>
      </c>
      <c r="G2" s="8" t="n">
        <v>0.35</v>
      </c>
      <c r="H2" s="8" t="n">
        <v>4.1</v>
      </c>
      <c r="I2" s="18">
        <f>'Grille actifs'!K2/H2-1</f>
        <v/>
      </c>
    </row>
    <row r="3">
      <c r="A3" s="5" t="inlineStr">
        <is>
          <t>A2</t>
        </is>
      </c>
      <c r="B3" s="9" t="n">
        <v>0.0485</v>
      </c>
      <c r="C3" s="6" t="n">
        <v>0.65</v>
      </c>
      <c r="D3" s="6" t="n">
        <v>0.25</v>
      </c>
      <c r="E3" s="17">
        <f>'Grille actifs'!L3*C3*(1-D3)</f>
        <v/>
      </c>
      <c r="F3" s="17">
        <f>'Grille actifs'!L3*B3</f>
        <v/>
      </c>
      <c r="G3" s="8" t="n">
        <v>0.95</v>
      </c>
      <c r="H3" s="8" t="n">
        <v>4.2</v>
      </c>
      <c r="I3" s="18">
        <f>'Grille actifs'!K3/H3-1</f>
        <v/>
      </c>
    </row>
    <row r="4">
      <c r="A4" s="5" t="inlineStr">
        <is>
          <t>A3</t>
        </is>
      </c>
      <c r="B4" s="9" t="n">
        <v>0.0405</v>
      </c>
      <c r="C4" s="6" t="n">
        <v>0.3</v>
      </c>
      <c r="D4" s="6" t="n">
        <v>0.6</v>
      </c>
      <c r="E4" s="17">
        <f>'Grille actifs'!L4*C4*(1-D4)</f>
        <v/>
      </c>
      <c r="F4" s="17">
        <f>'Grille actifs'!L4*B4</f>
        <v/>
      </c>
      <c r="G4" s="8" t="n">
        <v>0.25</v>
      </c>
      <c r="H4" s="8" t="n">
        <v>3.6</v>
      </c>
      <c r="I4" s="18">
        <f>'Grille actifs'!K4/H4-1</f>
        <v/>
      </c>
    </row>
    <row r="5">
      <c r="A5" s="5" t="inlineStr">
        <is>
          <t>A4</t>
        </is>
      </c>
      <c r="B5" s="9" t="n">
        <v>0.051</v>
      </c>
      <c r="C5" s="6" t="n">
        <v>0.45</v>
      </c>
      <c r="D5" s="6" t="n">
        <v>0.3</v>
      </c>
      <c r="E5" s="17">
        <f>'Grille actifs'!L5*C5*(1-D5)</f>
        <v/>
      </c>
      <c r="F5" s="17">
        <f>'Grille actifs'!L5*B5</f>
        <v/>
      </c>
      <c r="G5" s="8" t="n">
        <v>0.3</v>
      </c>
      <c r="H5" s="8" t="n">
        <v>2.75</v>
      </c>
      <c r="I5" s="18">
        <f>'Grille actifs'!K5/H5-1</f>
        <v/>
      </c>
    </row>
    <row r="6">
      <c r="A6" s="5" t="inlineStr">
        <is>
          <t>A5</t>
        </is>
      </c>
      <c r="B6" s="9" t="n">
        <v>0.0435</v>
      </c>
      <c r="C6" s="6" t="n">
        <v>0.3</v>
      </c>
      <c r="D6" s="6" t="n">
        <v>0.5</v>
      </c>
      <c r="E6" s="17">
        <f>'Grille actifs'!L6*C6*(1-D6)</f>
        <v/>
      </c>
      <c r="F6" s="17">
        <f>'Grille actifs'!L6*B6</f>
        <v/>
      </c>
      <c r="G6" s="8" t="n">
        <v>0.22</v>
      </c>
      <c r="H6" s="8" t="n">
        <v>1.5</v>
      </c>
      <c r="I6" s="18">
        <f>'Grille actifs'!K6/H6-1</f>
        <v/>
      </c>
    </row>
    <row r="7">
      <c r="A7" s="5" t="inlineStr">
        <is>
          <t>A6</t>
        </is>
      </c>
      <c r="B7" s="9" t="n">
        <v>0.0455</v>
      </c>
      <c r="C7" s="6" t="n">
        <v>0.4</v>
      </c>
      <c r="D7" s="6" t="n">
        <v>0.4</v>
      </c>
      <c r="E7" s="17">
        <f>'Grille actifs'!L7*C7*(1-D7)</f>
        <v/>
      </c>
      <c r="F7" s="17">
        <f>'Grille actifs'!L7*B7</f>
        <v/>
      </c>
      <c r="G7" s="8" t="n">
        <v>0.28</v>
      </c>
      <c r="H7" s="8" t="n">
        <v>1.65</v>
      </c>
      <c r="I7" s="18">
        <f>'Grille actifs'!K7/H7-1</f>
        <v/>
      </c>
    </row>
    <row r="8">
      <c r="A8" s="12" t="inlineStr">
        <is>
          <t>Total</t>
        </is>
      </c>
      <c r="E8" s="13">
        <f>SUM(E2:E7)</f>
        <v/>
      </c>
      <c r="F8" s="13">
        <f>SUM(F2:F7)</f>
        <v/>
      </c>
      <c r="G8" s="13">
        <f>SUM(G2:G7)</f>
        <v/>
      </c>
      <c r="H8" s="13">
        <f>SUM(H2:H7)</f>
        <v/>
      </c>
      <c r="I8" s="19">
        <f>'Grille actifs'!K8/H8-1</f>
        <v/>
      </c>
    </row>
    <row r="10">
      <c r="A10" s="16" t="inlineStr">
        <is>
          <t>Expo nette = dette × part variable × (1 − couverture) : seule assiette sensible à la hausse des taux. Service = dette × taux all-in (interest-only).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213D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20" t="inlineStr">
        <is>
          <t>AGRÉGATS DU FONDS — aucun chiffre saisi, tout est dérivé des onglets sources</t>
        </is>
      </c>
    </row>
    <row r="3">
      <c r="A3" s="21" t="inlineStr">
        <is>
          <t>GAV (€m)</t>
        </is>
      </c>
      <c r="B3" s="17">
        <f>'Grille actifs'!I8</f>
        <v/>
      </c>
    </row>
    <row r="4">
      <c r="A4" s="21" t="inlineStr">
        <is>
          <t>NOI total (€m)</t>
        </is>
      </c>
      <c r="B4" s="17">
        <f>'Grille actifs'!K8</f>
        <v/>
      </c>
    </row>
    <row r="5">
      <c r="A5" s="21" t="inlineStr">
        <is>
          <t>Cap rate blended</t>
        </is>
      </c>
      <c r="B5" s="22">
        <f>B4/B3</f>
        <v/>
      </c>
    </row>
    <row r="6">
      <c r="A6" s="21" t="inlineStr">
        <is>
          <t>Dette totale (€m)</t>
        </is>
      </c>
      <c r="B6" s="17">
        <f>'Grille actifs'!L8</f>
        <v/>
      </c>
    </row>
    <row r="7">
      <c r="A7" s="20" t="inlineStr">
        <is>
          <t>LTV consolidée</t>
        </is>
      </c>
      <c r="B7" s="15">
        <f>B6/B3</f>
        <v/>
      </c>
    </row>
    <row r="8">
      <c r="A8" s="21" t="inlineStr">
        <is>
          <t>Cash (€m)</t>
        </is>
      </c>
      <c r="B8" s="8" t="n">
        <v>8.199999999999999</v>
      </c>
    </row>
    <row r="9">
      <c r="A9" s="21" t="inlineStr">
        <is>
          <t>Autres passifs (€m)</t>
        </is>
      </c>
      <c r="B9" s="8" t="n">
        <v>6.1</v>
      </c>
    </row>
    <row r="10">
      <c r="A10" s="20" t="inlineStr">
        <is>
          <t>NAV (€m)</t>
        </is>
      </c>
      <c r="B10" s="13">
        <f>B3-B6+B8-B9</f>
        <v/>
      </c>
    </row>
    <row r="11">
      <c r="A11" s="21" t="inlineStr">
        <is>
          <t>Nombre de parts</t>
        </is>
      </c>
      <c r="B11" s="23" t="n">
        <v>1705000</v>
      </c>
    </row>
    <row r="12">
      <c r="A12" s="20" t="inlineStr">
        <is>
          <t>VL par part (€)</t>
        </is>
      </c>
      <c r="B12" s="24">
        <f>B10*1000000/B11</f>
        <v/>
      </c>
    </row>
    <row r="14">
      <c r="A14" s="21" t="inlineStr">
        <is>
          <t>Service de dette (€m)</t>
        </is>
      </c>
      <c r="B14" s="17">
        <f>'Dette &amp; couverture'!F8</f>
        <v/>
      </c>
    </row>
    <row r="15">
      <c r="A15" s="20" t="inlineStr">
        <is>
          <t>DSCR covenant (interest-only)</t>
        </is>
      </c>
      <c r="B15" s="25">
        <f>B4/B14</f>
        <v/>
      </c>
    </row>
    <row r="16">
      <c r="A16" s="21" t="inlineStr">
        <is>
          <t>Capex / TI total (€m)</t>
        </is>
      </c>
      <c r="B16" s="17">
        <f>'Dette &amp; couverture'!G8</f>
        <v/>
      </c>
    </row>
    <row r="17">
      <c r="A17" s="21" t="inlineStr">
        <is>
          <t>Cash-flow après capex (€m)</t>
        </is>
      </c>
      <c r="B17" s="11">
        <f>B4-B16</f>
        <v/>
      </c>
    </row>
    <row r="18">
      <c r="A18" s="21" t="inlineStr">
        <is>
          <t>DSCR après capex / TI</t>
        </is>
      </c>
      <c r="B18" s="26">
        <f>B17/B14</f>
        <v/>
      </c>
    </row>
    <row r="19">
      <c r="A19" s="21" t="inlineStr">
        <is>
          <t>Exposition nette taux (€m)</t>
        </is>
      </c>
      <c r="B19" s="17">
        <f>'Dette &amp; couverture'!E8</f>
        <v/>
      </c>
    </row>
    <row r="21">
      <c r="A21" s="20" t="inlineStr">
        <is>
          <t>COVENANTS &amp; RATIOS DE STRUCTURE</t>
        </is>
      </c>
    </row>
    <row r="22">
      <c r="A22" s="21" t="inlineStr">
        <is>
          <t>Covenant LTV max</t>
        </is>
      </c>
      <c r="B22" s="6" t="n">
        <v>0.6</v>
      </c>
    </row>
    <row r="23">
      <c r="A23" s="21" t="inlineStr">
        <is>
          <t>Seuil d'alerte LTV</t>
        </is>
      </c>
      <c r="B23" s="6" t="n">
        <v>0.57</v>
      </c>
    </row>
    <row r="24">
      <c r="A24" s="20" t="inlineStr">
        <is>
          <t>Statut LTV</t>
        </is>
      </c>
      <c r="B24" s="12">
        <f>IF(B7&gt;B22,"BREACH",IF(B7&gt;=B23,"ALERTE","CONFORME"))</f>
        <v/>
      </c>
    </row>
    <row r="25">
      <c r="A25" s="21" t="inlineStr">
        <is>
          <t>Covenant DSCR min</t>
        </is>
      </c>
      <c r="B25" s="27" t="n">
        <v>1.2</v>
      </c>
    </row>
    <row r="26">
      <c r="A26" s="20" t="inlineStr">
        <is>
          <t>Statut DSCR</t>
        </is>
      </c>
      <c r="B26" s="12">
        <f>IF(B15&lt;B25,"BREACH","CONFORME")</f>
        <v/>
      </c>
    </row>
    <row r="27">
      <c r="A27" s="21" t="inlineStr">
        <is>
          <t>Ratio d'emprise max (1er actif / GAV)</t>
        </is>
      </c>
      <c r="B27" s="10">
        <f>MAX('Grille actifs'!I2:I7)/B3</f>
        <v/>
      </c>
    </row>
    <row r="28">
      <c r="A28" s="21" t="inlineStr">
        <is>
          <t>Limite interne d'emprise</t>
        </is>
      </c>
      <c r="B28" s="6" t="n">
        <v>0.35</v>
      </c>
    </row>
    <row r="29">
      <c r="A29" s="21" t="inlineStr">
        <is>
          <t>Statut emprise</t>
        </is>
      </c>
      <c r="B29" s="5">
        <f>IF(B27&gt;B28,"DÉPASSEMENT","CONFORME")</f>
        <v/>
      </c>
    </row>
    <row r="30">
      <c r="A30" s="21" t="inlineStr">
        <is>
          <t>Levier AIFM simplifié (GAV / NAV)</t>
        </is>
      </c>
      <c r="B30" s="26">
        <f>B3/B10</f>
        <v/>
      </c>
    </row>
    <row r="31">
      <c r="A31" s="21" t="inlineStr">
        <is>
          <t>Plafond prospectus</t>
        </is>
      </c>
      <c r="B31" s="27" t="n">
        <v>2.5</v>
      </c>
    </row>
    <row r="32">
      <c r="A32" s="21" t="inlineStr">
        <is>
          <t>Statut levier</t>
        </is>
      </c>
      <c r="B32" s="5">
        <f>IF(B30&gt;B31,"DÉPASSEMENT","CONFORME")</f>
        <v/>
      </c>
    </row>
    <row r="33">
      <c r="A33" s="21" t="inlineStr">
        <is>
          <t>LTV nette de trésorerie</t>
        </is>
      </c>
      <c r="B33" s="10">
        <f>(B6-B8)/B3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8" customWidth="1" min="4" max="4"/>
    <col width="12" customWidth="1" min="5" max="5"/>
    <col width="10" customWidth="1" min="6" max="6"/>
  </cols>
  <sheetData>
    <row r="1">
      <c r="A1" s="20" t="inlineStr">
        <is>
          <t>SCÉNARIO BEAR — hypothèses modifiables (bleu), tout le reste recalcule</t>
        </is>
      </c>
    </row>
    <row r="2">
      <c r="A2" s="21" t="inlineStr">
        <is>
          <t>Choc sur les loyers</t>
        </is>
      </c>
      <c r="B2" s="9" t="n">
        <v>-0.1</v>
      </c>
    </row>
    <row r="3">
      <c r="A3" s="21" t="inlineStr">
        <is>
          <t>Vacance additionnelle</t>
        </is>
      </c>
      <c r="B3" s="9" t="n">
        <v>0.04</v>
      </c>
    </row>
    <row r="4">
      <c r="A4" s="21" t="inlineStr">
        <is>
          <t>Expansion des cap rates</t>
        </is>
      </c>
      <c r="B4" s="9" t="n">
        <v>0.0125</v>
      </c>
    </row>
    <row r="5">
      <c r="A5" s="21" t="inlineStr">
        <is>
          <t>Hausse des taux courts</t>
        </is>
      </c>
      <c r="B5" s="9" t="n">
        <v>0.015</v>
      </c>
    </row>
    <row r="8">
      <c r="A8" s="4" t="inlineStr">
        <is>
          <t>ID</t>
        </is>
      </c>
      <c r="B8" s="4" t="inlineStr">
        <is>
          <t>NOI stressé (€m)</t>
        </is>
      </c>
      <c r="C8" s="4" t="inlineStr">
        <is>
          <t>Cap stressé</t>
        </is>
      </c>
      <c r="D8" s="4" t="inlineStr">
        <is>
          <t>Valeur stressée (€m)</t>
        </is>
      </c>
      <c r="E8" s="4" t="inlineStr">
        <is>
          <t>Dette (€m)</t>
        </is>
      </c>
      <c r="F8" s="4" t="inlineStr">
        <is>
          <t>LTV actif</t>
        </is>
      </c>
    </row>
    <row r="9">
      <c r="A9" s="5" t="inlineStr">
        <is>
          <t>A1</t>
        </is>
      </c>
      <c r="B9" s="17">
        <f>'Grille actifs'!K2*(1+$B$2)*(1-$B$3)</f>
        <v/>
      </c>
      <c r="C9" s="28">
        <f>'Grille actifs'!J2+$B$4</f>
        <v/>
      </c>
      <c r="D9" s="11">
        <f>B9/C9</f>
        <v/>
      </c>
      <c r="E9" s="17">
        <f>'Grille actifs'!L2</f>
        <v/>
      </c>
      <c r="F9" s="10">
        <f>E9/D9</f>
        <v/>
      </c>
    </row>
    <row r="10">
      <c r="A10" s="5" t="inlineStr">
        <is>
          <t>A2</t>
        </is>
      </c>
      <c r="B10" s="17">
        <f>'Grille actifs'!K3*(1+$B$2)*(1-$B$3)</f>
        <v/>
      </c>
      <c r="C10" s="28">
        <f>'Grille actifs'!J3+$B$4</f>
        <v/>
      </c>
      <c r="D10" s="11">
        <f>B10/C10</f>
        <v/>
      </c>
      <c r="E10" s="17">
        <f>'Grille actifs'!L3</f>
        <v/>
      </c>
      <c r="F10" s="10">
        <f>E10/D10</f>
        <v/>
      </c>
    </row>
    <row r="11">
      <c r="A11" s="5" t="inlineStr">
        <is>
          <t>A3</t>
        </is>
      </c>
      <c r="B11" s="17">
        <f>'Grille actifs'!K4*(1+$B$2)*(1-$B$3)</f>
        <v/>
      </c>
      <c r="C11" s="28">
        <f>'Grille actifs'!J4+$B$4</f>
        <v/>
      </c>
      <c r="D11" s="11">
        <f>B11/C11</f>
        <v/>
      </c>
      <c r="E11" s="17">
        <f>'Grille actifs'!L4</f>
        <v/>
      </c>
      <c r="F11" s="10">
        <f>E11/D11</f>
        <v/>
      </c>
    </row>
    <row r="12">
      <c r="A12" s="5" t="inlineStr">
        <is>
          <t>A4</t>
        </is>
      </c>
      <c r="B12" s="17">
        <f>'Grille actifs'!K5*(1+$B$2)*(1-$B$3)</f>
        <v/>
      </c>
      <c r="C12" s="28">
        <f>'Grille actifs'!J5+$B$4</f>
        <v/>
      </c>
      <c r="D12" s="11">
        <f>B12/C12</f>
        <v/>
      </c>
      <c r="E12" s="17">
        <f>'Grille actifs'!L5</f>
        <v/>
      </c>
      <c r="F12" s="10">
        <f>E12/D12</f>
        <v/>
      </c>
    </row>
    <row r="13">
      <c r="A13" s="5" t="inlineStr">
        <is>
          <t>A5</t>
        </is>
      </c>
      <c r="B13" s="17">
        <f>'Grille actifs'!K6*(1+$B$2)*(1-$B$3)</f>
        <v/>
      </c>
      <c r="C13" s="28">
        <f>'Grille actifs'!J6+$B$4</f>
        <v/>
      </c>
      <c r="D13" s="11">
        <f>B13/C13</f>
        <v/>
      </c>
      <c r="E13" s="17">
        <f>'Grille actifs'!L6</f>
        <v/>
      </c>
      <c r="F13" s="10">
        <f>E13/D13</f>
        <v/>
      </c>
    </row>
    <row r="14">
      <c r="A14" s="5" t="inlineStr">
        <is>
          <t>A6</t>
        </is>
      </c>
      <c r="B14" s="17">
        <f>'Grille actifs'!K7*(1+$B$2)*(1-$B$3)</f>
        <v/>
      </c>
      <c r="C14" s="28">
        <f>'Grille actifs'!J7+$B$4</f>
        <v/>
      </c>
      <c r="D14" s="11">
        <f>B14/C14</f>
        <v/>
      </c>
      <c r="E14" s="17">
        <f>'Grille actifs'!L7</f>
        <v/>
      </c>
      <c r="F14" s="10">
        <f>E14/D14</f>
        <v/>
      </c>
    </row>
    <row r="15">
      <c r="A15" s="12" t="inlineStr">
        <is>
          <t>Total</t>
        </is>
      </c>
      <c r="B15" s="13">
        <f>SUM(B9:B14)</f>
        <v/>
      </c>
      <c r="D15" s="13">
        <f>SUM(D9:D14)</f>
        <v/>
      </c>
      <c r="E15" s="13">
        <f>SUM(E9:E14)</f>
        <v/>
      </c>
      <c r="F15" s="15">
        <f>E15/D15</f>
        <v/>
      </c>
    </row>
    <row r="17">
      <c r="A17" s="21" t="inlineStr">
        <is>
          <t>Service de dette stressé (€m)</t>
        </is>
      </c>
      <c r="B17" s="11">
        <f>'Dette &amp; couverture'!F8+$B$5*'Dette &amp; couverture'!E8</f>
        <v/>
      </c>
    </row>
    <row r="18">
      <c r="A18" s="21" t="inlineStr">
        <is>
          <t>DSCR covenant (IO)</t>
        </is>
      </c>
      <c r="B18" s="25">
        <f>B15/B17</f>
        <v/>
      </c>
    </row>
    <row r="19">
      <c r="A19" s="21" t="inlineStr">
        <is>
          <t>DSCR après capex / TI</t>
        </is>
      </c>
      <c r="B19" s="25">
        <f>(B15-'Dette &amp; couverture'!G8)/B17</f>
        <v/>
      </c>
    </row>
    <row r="20">
      <c r="A20" s="21" t="inlineStr">
        <is>
          <t>NAV stressée (€m)</t>
        </is>
      </c>
      <c r="B20" s="11">
        <f>D15-E15+'Agrégats &amp; covenants'!B8-'Agrégats &amp; covenants'!B9</f>
        <v/>
      </c>
    </row>
    <row r="21">
      <c r="A21" s="21" t="inlineStr">
        <is>
          <t>VL stressée (€)</t>
        </is>
      </c>
      <c r="B21" s="29">
        <f>B20*1000000/'Agrégats &amp; covenants'!B11</f>
        <v/>
      </c>
    </row>
    <row r="22">
      <c r="A22" s="21" t="inlineStr">
        <is>
          <t>Statut covenant LTV</t>
        </is>
      </c>
      <c r="B22" s="12">
        <f>IF(F15&gt;'Agrégats &amp; covenants'!B22,"BREACH",IF(F15&gt;='Agrégats &amp; covenants'!B23,"ALERTE","CONFORME"))</f>
        <v/>
      </c>
    </row>
    <row r="23">
      <c r="A23" s="21" t="inlineStr">
        <is>
          <t>Statut covenant DSCR</t>
        </is>
      </c>
      <c r="B23" s="5">
        <f>IF(B18&lt;'Agrégats &amp; covenants'!B25,"BREACH","CONFORME")</f>
        <v/>
      </c>
    </row>
    <row r="25">
      <c r="A25" s="16" t="inlineStr">
        <is>
          <t>Lecture : la LTV casse (canal valeur), le DSCR tient (dette interest-only + couverture de taux). Les deux DSCR dérivent du même NOI stressé.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5B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1" customWidth="1" min="4" max="4"/>
    <col width="28" customWidth="1" min="5" max="5"/>
  </cols>
  <sheetData>
    <row r="1">
      <c r="A1" s="4" t="inlineStr">
        <is>
          <t>Contrôle</t>
        </is>
      </c>
      <c r="B1" s="4" t="inlineStr">
        <is>
          <t>Valeur du classeur</t>
        </is>
      </c>
      <c r="C1" s="4" t="inlineStr">
        <is>
          <t>Référence cockpit</t>
        </is>
      </c>
      <c r="D1" s="4" t="inlineStr">
        <is>
          <t>Tolérance</t>
        </is>
      </c>
      <c r="E1" s="4" t="inlineStr">
        <is>
          <t>Statut</t>
        </is>
      </c>
    </row>
    <row r="2">
      <c r="A2" s="5" t="inlineStr">
        <is>
          <t>GAV (€m)</t>
        </is>
      </c>
      <c r="B2" s="17">
        <f>'Agrégats &amp; covenants'!B3</f>
        <v/>
      </c>
      <c r="C2" s="8" t="n">
        <v>317.4</v>
      </c>
      <c r="D2" s="30" t="n">
        <v>0.05</v>
      </c>
      <c r="E2" s="12">
        <f>IF(ABS(B2-C2)&lt;=D2,"PASS","FAIL")</f>
        <v/>
      </c>
    </row>
    <row r="3">
      <c r="A3" s="5" t="inlineStr">
        <is>
          <t>NOI total (€m)</t>
        </is>
      </c>
      <c r="B3" s="17">
        <f>'Agrégats &amp; covenants'!B4</f>
        <v/>
      </c>
      <c r="C3" s="8" t="n">
        <v>17.18</v>
      </c>
      <c r="D3" s="30" t="n">
        <v>0.005</v>
      </c>
      <c r="E3" s="12">
        <f>IF(ABS(B3-C3)&lt;=D3,"PASS","FAIL")</f>
        <v/>
      </c>
    </row>
    <row r="4">
      <c r="A4" s="5" t="inlineStr">
        <is>
          <t>Dette totale (€m)</t>
        </is>
      </c>
      <c r="B4" s="17">
        <f>'Agrégats &amp; covenants'!B6</f>
        <v/>
      </c>
      <c r="C4" s="8" t="n">
        <v>149</v>
      </c>
      <c r="D4" s="30" t="n">
        <v>0.001</v>
      </c>
      <c r="E4" s="12">
        <f>IF(ABS(B4-C4)&lt;=D4,"PASS","FAIL")</f>
        <v/>
      </c>
    </row>
    <row r="5">
      <c r="A5" s="5" t="inlineStr">
        <is>
          <t>LTV consolidée</t>
        </is>
      </c>
      <c r="B5" s="28">
        <f>'Agrégats &amp; covenants'!B7</f>
        <v/>
      </c>
      <c r="C5" s="9" t="n">
        <v>0.46944</v>
      </c>
      <c r="D5" s="30" t="n">
        <v>0.0005</v>
      </c>
      <c r="E5" s="12">
        <f>IF(ABS(B5-C5)&lt;=D5,"PASS","FAIL")</f>
        <v/>
      </c>
    </row>
    <row r="6">
      <c r="A6" s="5" t="inlineStr">
        <is>
          <t>NAV (€m)</t>
        </is>
      </c>
      <c r="B6" s="17">
        <f>'Agrégats &amp; covenants'!B10</f>
        <v/>
      </c>
      <c r="C6" s="8" t="n">
        <v>170.5</v>
      </c>
      <c r="D6" s="30" t="n">
        <v>0.05</v>
      </c>
      <c r="E6" s="12">
        <f>IF(ABS(B6-C6)&lt;=D6,"PASS","FAIL")</f>
        <v/>
      </c>
    </row>
    <row r="7">
      <c r="A7" s="5" t="inlineStr">
        <is>
          <t>VL par part (€)</t>
        </is>
      </c>
      <c r="B7" s="31">
        <f>'Agrégats &amp; covenants'!B12</f>
        <v/>
      </c>
      <c r="C7" s="32" t="n">
        <v>100</v>
      </c>
      <c r="D7" s="30" t="n">
        <v>0.01</v>
      </c>
      <c r="E7" s="12">
        <f>IF(ABS(B7-C7)&lt;=D7,"PASS","FAIL")</f>
        <v/>
      </c>
    </row>
    <row r="8">
      <c r="A8" s="5" t="inlineStr">
        <is>
          <t>DSCR covenant (IO)</t>
        </is>
      </c>
      <c r="B8" s="33">
        <f>'Agrégats &amp; covenants'!B15</f>
        <v/>
      </c>
      <c r="C8" s="27" t="n">
        <v>2.5887</v>
      </c>
      <c r="D8" s="30" t="n">
        <v>0.005</v>
      </c>
      <c r="E8" s="12">
        <f>IF(ABS(B8-C8)&lt;=D8,"PASS","FAIL")</f>
        <v/>
      </c>
    </row>
    <row r="9">
      <c r="A9" s="5" t="inlineStr">
        <is>
          <t>DSCR après capex / TI</t>
        </is>
      </c>
      <c r="B9" s="33">
        <f>'Agrégats &amp; covenants'!B18</f>
        <v/>
      </c>
      <c r="C9" s="27" t="n">
        <v>2.2346</v>
      </c>
      <c r="D9" s="30" t="n">
        <v>0.005</v>
      </c>
      <c r="E9" s="12">
        <f>IF(ABS(B9-C9)&lt;=D9,"PASS","FAIL")</f>
        <v/>
      </c>
    </row>
    <row r="10">
      <c r="A10" s="5" t="inlineStr">
        <is>
          <t>Exposition nette taux (€m)</t>
        </is>
      </c>
      <c r="B10" s="17">
        <f>'Agrégats &amp; covenants'!B19</f>
        <v/>
      </c>
      <c r="C10" s="8" t="n">
        <v>36.95</v>
      </c>
      <c r="D10" s="30" t="n">
        <v>0.01</v>
      </c>
      <c r="E10" s="12">
        <f>IF(ABS(B10-C10)&lt;=D10,"PASS","FAIL")</f>
        <v/>
      </c>
    </row>
    <row r="11">
      <c r="A11" s="5" t="inlineStr">
        <is>
          <t>Écart max valeur vs NOI÷cap (€m)</t>
        </is>
      </c>
      <c r="B11" s="17">
        <f>MAX(MAX('Grille actifs'!O2:O7),-MIN('Grille actifs'!O2:O7))</f>
        <v/>
      </c>
      <c r="C11" s="8" t="n">
        <v>0</v>
      </c>
      <c r="D11" s="30" t="n">
        <v>0.2</v>
      </c>
      <c r="E11" s="12">
        <f>IF(ABS(B11-C11)&lt;=D11,"PASS","FAIL")</f>
        <v/>
      </c>
    </row>
    <row r="12">
      <c r="A12" s="5" t="inlineStr">
        <is>
          <t>Bear — GAV stressée (€m)</t>
        </is>
      </c>
      <c r="B12" s="17">
        <f>'Scénario Bear'!D15</f>
        <v/>
      </c>
      <c r="C12" s="8" t="n">
        <v>221.28</v>
      </c>
      <c r="D12" s="30" t="n">
        <v>0.05</v>
      </c>
      <c r="E12" s="12">
        <f>IF(ABS(B12-C12)&lt;=D12,"PASS","FAIL")</f>
        <v/>
      </c>
    </row>
    <row r="13">
      <c r="A13" s="5" t="inlineStr">
        <is>
          <t>Bear — LTV consolidée</t>
        </is>
      </c>
      <c r="B13" s="28">
        <f>'Scénario Bear'!F15</f>
        <v/>
      </c>
      <c r="C13" s="9" t="n">
        <v>0.67335</v>
      </c>
      <c r="D13" s="30" t="n">
        <v>0.001</v>
      </c>
      <c r="E13" s="12">
        <f>IF(ABS(B13-C13)&lt;=D13,"PASS","FAIL")</f>
        <v/>
      </c>
    </row>
    <row r="14">
      <c r="A14" s="5" t="inlineStr">
        <is>
          <t>Bear — DSCR covenant</t>
        </is>
      </c>
      <c r="B14" s="33">
        <f>'Scénario Bear'!B18</f>
        <v/>
      </c>
      <c r="C14" s="27" t="n">
        <v>2.0642</v>
      </c>
      <c r="D14" s="30" t="n">
        <v>0.005</v>
      </c>
      <c r="E14" s="12">
        <f>IF(ABS(B14-C14)&lt;=D14,"PASS","FAIL")</f>
        <v/>
      </c>
    </row>
    <row r="15">
      <c r="A15" s="5" t="inlineStr">
        <is>
          <t>Bear — DSCR après capex</t>
        </is>
      </c>
      <c r="B15" s="33">
        <f>'Scénario Bear'!B19</f>
        <v/>
      </c>
      <c r="C15" s="27" t="n">
        <v>1.7375</v>
      </c>
      <c r="D15" s="30" t="n">
        <v>0.005</v>
      </c>
      <c r="E15" s="12">
        <f>IF(ABS(B15-C15)&lt;=D15,"PASS","FAIL")</f>
        <v/>
      </c>
    </row>
    <row r="17">
      <c r="A17" s="12" t="inlineStr">
        <is>
          <t>Synthèse</t>
        </is>
      </c>
      <c r="E17" s="12">
        <f>IF(COUNTIF(E2:E15,"FAIL")=0,"✓ TOUS LES CONTRÔLES PASSENT",COUNTIF(E2:E15,"FAIL")&amp;" ÉCHEC(S)")</f>
        <v/>
      </c>
    </row>
    <row r="19">
      <c r="A19" s="16" t="inlineStr">
        <is>
          <t>Références = valeurs de la recette automatique du cockpit (12/12 tests). Si un input change, les statuts basculent en FAIL tant que la référence n'est pas réalignée.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2026-06-11T23:15:04Z</dcterms:created>
  <dcterms:modified xmlns:dcterms="http://purl.org/dc/terms/" xmlns:xsi="http://www.w3.org/2001/XMLSchema-instance" xsi:type="dcterms:W3CDTF">2026-06-11T23:15:04Z</dcterms:modified>
</cp:coreProperties>
</file>